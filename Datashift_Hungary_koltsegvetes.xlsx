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etöltések\projekt\"/>
    </mc:Choice>
  </mc:AlternateContent>
  <xr:revisionPtr revIDLastSave="0" documentId="13_ncr:1_{FB619647-B919-4AE9-8773-2140E57F58D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udapest" sheetId="1" r:id="rId1"/>
    <sheet name="Debrecen" sheetId="2" r:id="rId2"/>
    <sheet name="Pécs" sheetId="3" r:id="rId3"/>
    <sheet name="Összesítet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5" i="4" s="1"/>
  <c r="B2" i="4"/>
  <c r="D6" i="3"/>
  <c r="D5" i="3"/>
  <c r="D4" i="3"/>
  <c r="D3" i="3"/>
  <c r="D6" i="2"/>
  <c r="D5" i="2"/>
  <c r="D4" i="2"/>
  <c r="D3" i="2"/>
  <c r="D5" i="1"/>
  <c r="D3" i="1"/>
  <c r="D18" i="1" s="1"/>
  <c r="B30" i="1" s="1"/>
  <c r="D4" i="1"/>
  <c r="D6" i="1"/>
  <c r="C21" i="3"/>
  <c r="E18" i="3"/>
  <c r="D8" i="3"/>
  <c r="D9" i="3"/>
  <c r="D10" i="3"/>
  <c r="D11" i="3"/>
  <c r="D12" i="3"/>
  <c r="D13" i="3"/>
  <c r="D14" i="3"/>
  <c r="D7" i="3"/>
  <c r="D15" i="3" s="1"/>
  <c r="B25" i="3" s="1"/>
  <c r="C21" i="2"/>
  <c r="E18" i="2"/>
  <c r="D8" i="2"/>
  <c r="D9" i="2"/>
  <c r="D10" i="2"/>
  <c r="D11" i="2"/>
  <c r="D12" i="2"/>
  <c r="D13" i="2"/>
  <c r="D14" i="2"/>
  <c r="D7" i="2"/>
  <c r="C25" i="1"/>
  <c r="E22" i="1"/>
  <c r="D8" i="1"/>
  <c r="D9" i="1"/>
  <c r="D10" i="1"/>
  <c r="D11" i="1"/>
  <c r="D12" i="1"/>
  <c r="D13" i="1"/>
  <c r="D14" i="1"/>
  <c r="D15" i="1"/>
  <c r="D16" i="1"/>
  <c r="D17" i="1"/>
  <c r="D7" i="1"/>
  <c r="D15" i="2" l="1"/>
  <c r="B25" i="2"/>
</calcChain>
</file>

<file path=xl/sharedStrings.xml><?xml version="1.0" encoding="utf-8"?>
<sst xmlns="http://schemas.openxmlformats.org/spreadsheetml/2006/main" count="98" uniqueCount="44">
  <si>
    <t>Budapesti telephely (székhely)</t>
  </si>
  <si>
    <t>Darabszám</t>
  </si>
  <si>
    <t>Készülék</t>
  </si>
  <si>
    <t>Cisco Catalyst C8300-1N1S-6T router</t>
  </si>
  <si>
    <t>Cisco CSF1230 tűzfal</t>
  </si>
  <si>
    <t>Cisco Business 150AX Access Point</t>
  </si>
  <si>
    <t>Cisco 9200-48P switch</t>
  </si>
  <si>
    <t xml:space="preserve">Cisco Catalyst 9200L-24T-4G-E switch </t>
  </si>
  <si>
    <t>Cisco 1300-8T-E-2G switch</t>
  </si>
  <si>
    <t>HPE ProLiant DL380 Gen10 szervergép</t>
  </si>
  <si>
    <t>HPE MicroServer Gen 11 szervergép</t>
  </si>
  <si>
    <t>HP Elite Tower 800 G9 számítógép</t>
  </si>
  <si>
    <t>nyomtató Canon PIXMA TS3351</t>
  </si>
  <si>
    <t>összeg/db</t>
  </si>
  <si>
    <t>Jura Z10 kávéfőző</t>
  </si>
  <si>
    <t>Debreceni telephely</t>
  </si>
  <si>
    <t>Cisco 1300-16T-2G switch</t>
  </si>
  <si>
    <t>összesen:</t>
  </si>
  <si>
    <t>Pécsi telephely</t>
  </si>
  <si>
    <t>telephely</t>
  </si>
  <si>
    <t xml:space="preserve">összeg </t>
  </si>
  <si>
    <t>Budapest (székhely)</t>
  </si>
  <si>
    <t>Debrecen</t>
  </si>
  <si>
    <t>Pécs</t>
  </si>
  <si>
    <t>méter/gép</t>
  </si>
  <si>
    <t>ár/méter</t>
  </si>
  <si>
    <t>méter összesen</t>
  </si>
  <si>
    <t>összeg</t>
  </si>
  <si>
    <t>teljes összeg</t>
  </si>
  <si>
    <t>Rendszermérnöki díj</t>
  </si>
  <si>
    <t>Budapest teljes összeg</t>
  </si>
  <si>
    <t>Debrecen teljes összeg</t>
  </si>
  <si>
    <t>Pécs teljes összeg</t>
  </si>
  <si>
    <t>s</t>
  </si>
  <si>
    <t>végösszeg</t>
  </si>
  <si>
    <t>Cat6 kábel</t>
  </si>
  <si>
    <t>RJ45 csatl.</t>
  </si>
  <si>
    <t>ár/csatl</t>
  </si>
  <si>
    <t>Windows Server 2022 licenc</t>
  </si>
  <si>
    <t>Lanberg 6u fali rack</t>
  </si>
  <si>
    <t>Lanberg 1u 16A 9 aljzat PDU</t>
  </si>
  <si>
    <t>Lanberg 27u álló rack</t>
  </si>
  <si>
    <t>Lanberg 1u 10A 5 aljzat PDU</t>
  </si>
  <si>
    <t>Lanberg 22u álló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</si>
</sst>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Ft&quot;;[Red]\-#,##0\ &quot;Ft&quot;"/>
    <numFmt numFmtId="164" formatCode="0&quot; db&quot;"/>
    <numFmt numFmtId="165" formatCode="0&quot; Ft&quot;"/>
    <numFmt numFmtId="166" formatCode="0&quot;  Ft&quot;"/>
    <numFmt numFmtId="167" formatCode="0&quot; m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0" fontId="1" fillId="0" borderId="0" xfId="0" applyFont="1"/>
    <xf numFmtId="3" fontId="3" fillId="0" borderId="0" xfId="0" applyNumberFormat="1" applyFont="1"/>
    <xf numFmtId="6" fontId="0" fillId="0" borderId="0" xfId="0" applyNumberFormat="1"/>
    <xf numFmtId="6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Alignment="1">
      <alignment horizontal="right"/>
    </xf>
    <xf numFmtId="165" fontId="3" fillId="0" borderId="0" xfId="0" applyNumberFormat="1" applyFont="1"/>
    <xf numFmtId="166" fontId="3" fillId="0" borderId="0" xfId="0" applyNumberFormat="1" applyFont="1"/>
    <xf numFmtId="167" fontId="0" fillId="0" borderId="0" xfId="0" applyNumberFormat="1" applyAlignment="1">
      <alignment horizontal="right"/>
    </xf>
    <xf numFmtId="167" fontId="3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E10" sqref="E10"/>
    </sheetView>
  </sheetViews>
  <sheetFormatPr defaultRowHeight="15" x14ac:dyDescent="0.25"/>
  <cols>
    <col min="1" max="1" width="35.85546875" customWidth="1"/>
    <col min="2" max="2" width="13.85546875" customWidth="1"/>
    <col min="3" max="3" width="14.85546875" customWidth="1"/>
    <col min="4" max="4" width="16.5703125" customWidth="1"/>
    <col min="5" max="5" width="14" customWidth="1"/>
  </cols>
  <sheetData>
    <row r="1" spans="1:5" ht="18" x14ac:dyDescent="0.25">
      <c r="A1" s="16" t="s">
        <v>0</v>
      </c>
      <c r="B1" s="16"/>
      <c r="C1" s="16"/>
      <c r="D1" s="16"/>
      <c r="E1" s="2"/>
    </row>
    <row r="2" spans="1:5" x14ac:dyDescent="0.25">
      <c r="A2" s="1" t="s">
        <v>2</v>
      </c>
      <c r="B2" s="1" t="s">
        <v>1</v>
      </c>
      <c r="C2" s="1" t="s">
        <v>13</v>
      </c>
      <c r="D2" s="1" t="s">
        <v>34</v>
      </c>
    </row>
    <row r="3" spans="1:5" x14ac:dyDescent="0.25">
      <c r="A3" s="15" t="s">
        <v>41</v>
      </c>
      <c r="B3" s="8">
        <v>1</v>
      </c>
      <c r="C3" s="9">
        <v>183690</v>
      </c>
      <c r="D3" s="11">
        <f t="shared" ref="D3:D6" si="0">B3*C3</f>
        <v>183690</v>
      </c>
    </row>
    <row r="4" spans="1:5" x14ac:dyDescent="0.25">
      <c r="A4" s="15" t="s">
        <v>39</v>
      </c>
      <c r="B4" s="8">
        <v>2</v>
      </c>
      <c r="C4" s="9">
        <v>32540</v>
      </c>
      <c r="D4" s="11">
        <f t="shared" si="0"/>
        <v>65080</v>
      </c>
    </row>
    <row r="5" spans="1:5" x14ac:dyDescent="0.25">
      <c r="A5" s="15" t="s">
        <v>40</v>
      </c>
      <c r="B5" s="8">
        <v>1</v>
      </c>
      <c r="C5" s="9">
        <v>9590</v>
      </c>
      <c r="D5" s="11">
        <f t="shared" si="0"/>
        <v>9590</v>
      </c>
    </row>
    <row r="6" spans="1:5" x14ac:dyDescent="0.25">
      <c r="A6" s="15" t="s">
        <v>42</v>
      </c>
      <c r="B6" s="8">
        <v>2</v>
      </c>
      <c r="C6" s="9">
        <v>7919</v>
      </c>
      <c r="D6" s="11">
        <f t="shared" si="0"/>
        <v>15838</v>
      </c>
    </row>
    <row r="7" spans="1:5" x14ac:dyDescent="0.25">
      <c r="A7" s="2" t="s">
        <v>3</v>
      </c>
      <c r="B7" s="8">
        <v>2</v>
      </c>
      <c r="C7" s="9">
        <v>3806490</v>
      </c>
      <c r="D7" s="11">
        <f>B7*C7</f>
        <v>7612980</v>
      </c>
    </row>
    <row r="8" spans="1:5" ht="15.6" customHeight="1" x14ac:dyDescent="0.25">
      <c r="A8" s="2" t="s">
        <v>4</v>
      </c>
      <c r="B8" s="8">
        <v>2</v>
      </c>
      <c r="C8" s="9">
        <v>3422471</v>
      </c>
      <c r="D8" s="11">
        <f t="shared" ref="D8:D17" si="1">B8*C8</f>
        <v>6844942</v>
      </c>
    </row>
    <row r="9" spans="1:5" x14ac:dyDescent="0.25">
      <c r="A9" s="2" t="s">
        <v>5</v>
      </c>
      <c r="B9" s="8">
        <v>6</v>
      </c>
      <c r="C9" s="9">
        <v>63540</v>
      </c>
      <c r="D9" s="11">
        <f t="shared" si="1"/>
        <v>381240</v>
      </c>
    </row>
    <row r="10" spans="1:5" x14ac:dyDescent="0.25">
      <c r="A10" s="2" t="s">
        <v>6</v>
      </c>
      <c r="B10" s="8">
        <v>2</v>
      </c>
      <c r="C10" s="9">
        <v>1394500</v>
      </c>
      <c r="D10" s="11">
        <f t="shared" si="1"/>
        <v>2789000</v>
      </c>
    </row>
    <row r="11" spans="1:5" x14ac:dyDescent="0.25">
      <c r="A11" s="2" t="s">
        <v>7</v>
      </c>
      <c r="B11" s="8">
        <v>2</v>
      </c>
      <c r="C11" s="9">
        <v>1205500</v>
      </c>
      <c r="D11" s="11">
        <f t="shared" si="1"/>
        <v>2411000</v>
      </c>
    </row>
    <row r="12" spans="1:5" x14ac:dyDescent="0.25">
      <c r="A12" s="2" t="s">
        <v>8</v>
      </c>
      <c r="B12" s="8">
        <v>3</v>
      </c>
      <c r="C12" s="9">
        <v>99500</v>
      </c>
      <c r="D12" s="11">
        <f t="shared" si="1"/>
        <v>298500</v>
      </c>
    </row>
    <row r="13" spans="1:5" x14ac:dyDescent="0.25">
      <c r="A13" s="2" t="s">
        <v>9</v>
      </c>
      <c r="B13" s="8">
        <v>1</v>
      </c>
      <c r="C13" s="9">
        <v>1596466</v>
      </c>
      <c r="D13" s="11">
        <f t="shared" si="1"/>
        <v>1596466</v>
      </c>
    </row>
    <row r="14" spans="1:5" x14ac:dyDescent="0.25">
      <c r="A14" s="2" t="s">
        <v>10</v>
      </c>
      <c r="B14" s="8">
        <v>1</v>
      </c>
      <c r="C14" s="9">
        <v>1454150</v>
      </c>
      <c r="D14" s="11">
        <f t="shared" si="1"/>
        <v>1454150</v>
      </c>
    </row>
    <row r="15" spans="1:5" x14ac:dyDescent="0.25">
      <c r="A15" s="2" t="s">
        <v>11</v>
      </c>
      <c r="B15" s="8">
        <v>70</v>
      </c>
      <c r="C15" s="9">
        <v>625589</v>
      </c>
      <c r="D15" s="11">
        <f t="shared" si="1"/>
        <v>43791230</v>
      </c>
    </row>
    <row r="16" spans="1:5" x14ac:dyDescent="0.25">
      <c r="A16" s="2" t="s">
        <v>12</v>
      </c>
      <c r="B16" s="8">
        <v>2</v>
      </c>
      <c r="C16" s="9">
        <v>23691</v>
      </c>
      <c r="D16" s="11">
        <f t="shared" si="1"/>
        <v>47382</v>
      </c>
    </row>
    <row r="17" spans="1:5" x14ac:dyDescent="0.25">
      <c r="A17" s="2" t="s">
        <v>14</v>
      </c>
      <c r="B17" s="8">
        <v>1</v>
      </c>
      <c r="C17" s="9">
        <v>999999</v>
      </c>
      <c r="D17" s="11">
        <f t="shared" si="1"/>
        <v>999999</v>
      </c>
    </row>
    <row r="18" spans="1:5" x14ac:dyDescent="0.25">
      <c r="A18" s="4" t="s">
        <v>17</v>
      </c>
      <c r="B18" s="8">
        <v>92</v>
      </c>
      <c r="C18" s="10"/>
      <c r="D18" s="11">
        <f>SUM(D3:D16)</f>
        <v>67501088</v>
      </c>
    </row>
    <row r="19" spans="1:5" x14ac:dyDescent="0.25">
      <c r="A19" s="4"/>
      <c r="B19" s="8"/>
      <c r="C19" s="10"/>
      <c r="D19" s="2"/>
    </row>
    <row r="21" spans="1:5" x14ac:dyDescent="0.25">
      <c r="A21" s="2" t="s">
        <v>35</v>
      </c>
      <c r="B21" t="s">
        <v>24</v>
      </c>
      <c r="C21" s="2" t="s">
        <v>26</v>
      </c>
      <c r="D21" t="s">
        <v>25</v>
      </c>
      <c r="E21" s="2" t="s">
        <v>28</v>
      </c>
    </row>
    <row r="22" spans="1:5" x14ac:dyDescent="0.25">
      <c r="A22" s="2" t="s">
        <v>11</v>
      </c>
      <c r="B22" s="12">
        <v>25</v>
      </c>
      <c r="C22" s="13">
        <v>2250</v>
      </c>
      <c r="D22" s="6">
        <v>300</v>
      </c>
      <c r="E22" s="6">
        <f>C22*D22</f>
        <v>675000</v>
      </c>
    </row>
    <row r="24" spans="1:5" x14ac:dyDescent="0.25">
      <c r="A24" s="2" t="s">
        <v>36</v>
      </c>
      <c r="B24" s="2" t="s">
        <v>37</v>
      </c>
      <c r="C24" s="2" t="s">
        <v>28</v>
      </c>
      <c r="D24" s="2"/>
    </row>
    <row r="25" spans="1:5" x14ac:dyDescent="0.25">
      <c r="A25" s="8">
        <v>210</v>
      </c>
      <c r="B25" s="7">
        <v>90</v>
      </c>
      <c r="C25" s="7">
        <f>A25*B25</f>
        <v>18900</v>
      </c>
      <c r="D25" s="7"/>
    </row>
    <row r="27" spans="1:5" x14ac:dyDescent="0.25">
      <c r="A27" s="2" t="s">
        <v>29</v>
      </c>
      <c r="B27" s="7">
        <v>450000</v>
      </c>
      <c r="D27" s="2"/>
    </row>
    <row r="28" spans="1:5" x14ac:dyDescent="0.25">
      <c r="A28" s="2" t="s">
        <v>38</v>
      </c>
      <c r="B28" s="7">
        <v>169000</v>
      </c>
    </row>
    <row r="29" spans="1:5" x14ac:dyDescent="0.25">
      <c r="B29" s="7"/>
    </row>
    <row r="30" spans="1:5" x14ac:dyDescent="0.25">
      <c r="A30" s="4" t="s">
        <v>30</v>
      </c>
      <c r="B30" s="7">
        <f>D18+E22+C25+B27+B28</f>
        <v>68813988</v>
      </c>
      <c r="C30" s="7"/>
    </row>
  </sheetData>
  <mergeCells count="1">
    <mergeCell ref="A1:D1"/>
  </mergeCells>
  <phoneticPr fontId="5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D60-6726-4B5B-98FD-2707A2531FAC}">
  <dimension ref="A1:E25"/>
  <sheetViews>
    <sheetView topLeftCell="A4" workbookViewId="0">
      <selection activeCell="C4" sqref="C4"/>
    </sheetView>
  </sheetViews>
  <sheetFormatPr defaultRowHeight="15" x14ac:dyDescent="0.25"/>
  <cols>
    <col min="1" max="1" width="34.85546875" customWidth="1"/>
    <col min="2" max="2" width="14.42578125" customWidth="1"/>
    <col min="3" max="3" width="15.85546875" customWidth="1"/>
    <col min="4" max="4" width="12.42578125" customWidth="1"/>
    <col min="5" max="5" width="12.140625" customWidth="1"/>
  </cols>
  <sheetData>
    <row r="1" spans="1:5" ht="18" x14ac:dyDescent="0.25">
      <c r="A1" s="16" t="s">
        <v>15</v>
      </c>
      <c r="B1" s="17"/>
      <c r="C1" s="17"/>
      <c r="D1" s="17"/>
      <c r="E1" s="17"/>
    </row>
    <row r="2" spans="1:5" x14ac:dyDescent="0.25">
      <c r="A2" s="1" t="s">
        <v>2</v>
      </c>
      <c r="B2" s="1" t="s">
        <v>1</v>
      </c>
      <c r="C2" s="14" t="s">
        <v>13</v>
      </c>
      <c r="D2" s="1" t="s">
        <v>34</v>
      </c>
      <c r="E2" s="1"/>
    </row>
    <row r="3" spans="1:5" x14ac:dyDescent="0.25">
      <c r="A3" s="15" t="s">
        <v>43</v>
      </c>
      <c r="B3" s="8">
        <v>1</v>
      </c>
      <c r="C3" s="9">
        <v>152972</v>
      </c>
      <c r="D3" s="11">
        <f t="shared" ref="D3:D6" si="0">B3*C3</f>
        <v>152972</v>
      </c>
      <c r="E3" s="1"/>
    </row>
    <row r="4" spans="1:5" x14ac:dyDescent="0.25">
      <c r="A4" s="15" t="s">
        <v>39</v>
      </c>
      <c r="B4" s="8">
        <v>1</v>
      </c>
      <c r="C4" s="9">
        <v>32540</v>
      </c>
      <c r="D4" s="11">
        <f t="shared" si="0"/>
        <v>32540</v>
      </c>
      <c r="E4" s="1"/>
    </row>
    <row r="5" spans="1:5" x14ac:dyDescent="0.25">
      <c r="A5" s="15" t="s">
        <v>40</v>
      </c>
      <c r="B5" s="8">
        <v>1</v>
      </c>
      <c r="C5" s="9">
        <v>9590</v>
      </c>
      <c r="D5" s="11">
        <f t="shared" si="0"/>
        <v>9590</v>
      </c>
      <c r="E5" s="1"/>
    </row>
    <row r="6" spans="1:5" x14ac:dyDescent="0.25">
      <c r="A6" s="15" t="s">
        <v>42</v>
      </c>
      <c r="B6" s="8">
        <v>1</v>
      </c>
      <c r="C6" s="9">
        <v>7919</v>
      </c>
      <c r="D6" s="11">
        <f t="shared" si="0"/>
        <v>7919</v>
      </c>
      <c r="E6" s="1"/>
    </row>
    <row r="7" spans="1:5" x14ac:dyDescent="0.25">
      <c r="A7" s="2" t="s">
        <v>3</v>
      </c>
      <c r="B7" s="8">
        <v>1</v>
      </c>
      <c r="C7" s="9">
        <v>3806490</v>
      </c>
      <c r="D7" s="3">
        <f>B7*C7</f>
        <v>3806490</v>
      </c>
      <c r="E7" s="2"/>
    </row>
    <row r="8" spans="1:5" x14ac:dyDescent="0.25">
      <c r="A8" s="2" t="s">
        <v>4</v>
      </c>
      <c r="B8" s="8">
        <v>1</v>
      </c>
      <c r="C8" s="9">
        <v>3422471</v>
      </c>
      <c r="D8" s="3">
        <f t="shared" ref="D8:D14" si="1">B8*C8</f>
        <v>3422471</v>
      </c>
      <c r="E8" s="2"/>
    </row>
    <row r="9" spans="1:5" x14ac:dyDescent="0.25">
      <c r="A9" s="2" t="s">
        <v>5</v>
      </c>
      <c r="B9" s="8">
        <v>2</v>
      </c>
      <c r="C9" s="9">
        <v>63540</v>
      </c>
      <c r="D9" s="3">
        <f t="shared" si="1"/>
        <v>127080</v>
      </c>
      <c r="E9" s="2"/>
    </row>
    <row r="10" spans="1:5" x14ac:dyDescent="0.25">
      <c r="A10" s="2" t="s">
        <v>7</v>
      </c>
      <c r="B10" s="8">
        <v>3</v>
      </c>
      <c r="C10" s="9">
        <v>1205500</v>
      </c>
      <c r="D10" s="3">
        <f t="shared" si="1"/>
        <v>3616500</v>
      </c>
      <c r="E10" s="2"/>
    </row>
    <row r="11" spans="1:5" x14ac:dyDescent="0.25">
      <c r="A11" s="2" t="s">
        <v>16</v>
      </c>
      <c r="B11" s="8">
        <v>1</v>
      </c>
      <c r="C11" s="9">
        <v>151634</v>
      </c>
      <c r="D11" s="3">
        <f t="shared" si="1"/>
        <v>151634</v>
      </c>
      <c r="E11" s="2"/>
    </row>
    <row r="12" spans="1:5" x14ac:dyDescent="0.25">
      <c r="A12" s="2" t="s">
        <v>11</v>
      </c>
      <c r="B12" s="8">
        <v>31</v>
      </c>
      <c r="C12" s="9">
        <v>625589</v>
      </c>
      <c r="D12" s="3">
        <f t="shared" si="1"/>
        <v>19393259</v>
      </c>
      <c r="E12" s="2"/>
    </row>
    <row r="13" spans="1:5" x14ac:dyDescent="0.25">
      <c r="A13" s="2" t="s">
        <v>12</v>
      </c>
      <c r="B13" s="8">
        <v>1</v>
      </c>
      <c r="C13" s="9">
        <v>23691</v>
      </c>
      <c r="D13" s="3">
        <f t="shared" si="1"/>
        <v>23691</v>
      </c>
      <c r="E13" s="2"/>
    </row>
    <row r="14" spans="1:5" x14ac:dyDescent="0.25">
      <c r="A14" s="2" t="s">
        <v>14</v>
      </c>
      <c r="B14" s="8">
        <v>1</v>
      </c>
      <c r="C14" s="9">
        <v>999999</v>
      </c>
      <c r="D14" s="3">
        <f t="shared" si="1"/>
        <v>999999</v>
      </c>
      <c r="E14" s="2"/>
    </row>
    <row r="15" spans="1:5" x14ac:dyDescent="0.25">
      <c r="A15" s="4" t="s">
        <v>17</v>
      </c>
      <c r="B15" s="8">
        <v>41</v>
      </c>
      <c r="C15" s="10"/>
      <c r="D15" s="5">
        <f>SUM(D3:D14)</f>
        <v>31744145</v>
      </c>
      <c r="E15" s="2"/>
    </row>
    <row r="17" spans="1:5" x14ac:dyDescent="0.25">
      <c r="A17" s="2" t="s">
        <v>35</v>
      </c>
      <c r="B17" s="2" t="s">
        <v>24</v>
      </c>
      <c r="C17" s="2" t="s">
        <v>26</v>
      </c>
      <c r="D17" s="2" t="s">
        <v>25</v>
      </c>
      <c r="E17" s="2" t="s">
        <v>27</v>
      </c>
    </row>
    <row r="18" spans="1:5" x14ac:dyDescent="0.25">
      <c r="A18" s="2" t="s">
        <v>11</v>
      </c>
      <c r="B18" s="13">
        <v>20</v>
      </c>
      <c r="C18" s="13">
        <v>820</v>
      </c>
      <c r="D18" s="7">
        <v>300</v>
      </c>
      <c r="E18" s="7">
        <f>C18*D18</f>
        <v>246000</v>
      </c>
    </row>
    <row r="20" spans="1:5" x14ac:dyDescent="0.25">
      <c r="A20" s="2" t="s">
        <v>36</v>
      </c>
      <c r="B20" s="2" t="s">
        <v>37</v>
      </c>
      <c r="C20" s="2" t="s">
        <v>28</v>
      </c>
      <c r="D20" s="2"/>
    </row>
    <row r="21" spans="1:5" x14ac:dyDescent="0.25">
      <c r="A21" s="8">
        <v>90</v>
      </c>
      <c r="B21" s="7">
        <v>90</v>
      </c>
      <c r="C21" s="7">
        <f>A21*B21</f>
        <v>8100</v>
      </c>
      <c r="D21" s="7"/>
    </row>
    <row r="23" spans="1:5" x14ac:dyDescent="0.25">
      <c r="A23" s="2" t="s">
        <v>29</v>
      </c>
      <c r="B23" s="7">
        <v>220000</v>
      </c>
    </row>
    <row r="25" spans="1:5" x14ac:dyDescent="0.25">
      <c r="A25" s="4" t="s">
        <v>31</v>
      </c>
      <c r="B25" s="10">
        <f>D15+E18+C21+B23</f>
        <v>32218245</v>
      </c>
      <c r="C25" s="10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1190-FE5F-44ED-A72C-90257E3A53D5}">
  <dimension ref="A1:E30"/>
  <sheetViews>
    <sheetView tabSelected="1" workbookViewId="0">
      <selection activeCell="E7" sqref="E7"/>
    </sheetView>
  </sheetViews>
  <sheetFormatPr defaultRowHeight="15" x14ac:dyDescent="0.25"/>
  <cols>
    <col min="1" max="1" width="34.85546875" customWidth="1"/>
    <col min="2" max="2" width="14.42578125" customWidth="1"/>
    <col min="3" max="3" width="15.85546875" customWidth="1"/>
    <col min="4" max="5" width="13.140625" customWidth="1"/>
  </cols>
  <sheetData>
    <row r="1" spans="1:5" ht="18" x14ac:dyDescent="0.25">
      <c r="A1" s="16" t="s">
        <v>18</v>
      </c>
      <c r="B1" s="17"/>
      <c r="C1" s="17"/>
      <c r="D1" s="17"/>
      <c r="E1" s="17"/>
    </row>
    <row r="2" spans="1:5" x14ac:dyDescent="0.25">
      <c r="A2" s="1" t="s">
        <v>2</v>
      </c>
      <c r="B2" s="1" t="s">
        <v>1</v>
      </c>
      <c r="C2" s="14" t="s">
        <v>13</v>
      </c>
      <c r="D2" s="1" t="s">
        <v>34</v>
      </c>
      <c r="E2" s="1"/>
    </row>
    <row r="3" spans="1:5" x14ac:dyDescent="0.25">
      <c r="A3" s="15" t="s">
        <v>43</v>
      </c>
      <c r="B3" s="8">
        <v>1</v>
      </c>
      <c r="C3" s="9">
        <v>152972</v>
      </c>
      <c r="D3" s="11">
        <f t="shared" ref="D3:D6" si="0">B3*C3</f>
        <v>152972</v>
      </c>
      <c r="E3" s="1"/>
    </row>
    <row r="4" spans="1:5" x14ac:dyDescent="0.25">
      <c r="A4" s="15" t="s">
        <v>39</v>
      </c>
      <c r="B4" s="8">
        <v>1</v>
      </c>
      <c r="C4" s="9">
        <v>32540</v>
      </c>
      <c r="D4" s="11">
        <f t="shared" si="0"/>
        <v>32540</v>
      </c>
      <c r="E4" s="1"/>
    </row>
    <row r="5" spans="1:5" x14ac:dyDescent="0.25">
      <c r="A5" s="15" t="s">
        <v>40</v>
      </c>
      <c r="B5" s="8">
        <v>1</v>
      </c>
      <c r="C5" s="9">
        <v>9590</v>
      </c>
      <c r="D5" s="11">
        <f t="shared" si="0"/>
        <v>9590</v>
      </c>
      <c r="E5" s="1"/>
    </row>
    <row r="6" spans="1:5" x14ac:dyDescent="0.25">
      <c r="A6" s="15" t="s">
        <v>42</v>
      </c>
      <c r="B6" s="8">
        <v>1</v>
      </c>
      <c r="C6" s="9">
        <v>7919</v>
      </c>
      <c r="D6" s="11">
        <f t="shared" si="0"/>
        <v>7919</v>
      </c>
      <c r="E6" s="1"/>
    </row>
    <row r="7" spans="1:5" x14ac:dyDescent="0.25">
      <c r="A7" s="2" t="s">
        <v>3</v>
      </c>
      <c r="B7" s="8">
        <v>1</v>
      </c>
      <c r="C7" s="9">
        <v>3806490</v>
      </c>
      <c r="D7" s="3">
        <f>B7*C7</f>
        <v>3806490</v>
      </c>
      <c r="E7" s="2"/>
    </row>
    <row r="8" spans="1:5" x14ac:dyDescent="0.25">
      <c r="A8" s="2" t="s">
        <v>4</v>
      </c>
      <c r="B8" s="8">
        <v>1</v>
      </c>
      <c r="C8" s="9">
        <v>3422471</v>
      </c>
      <c r="D8" s="3">
        <f t="shared" ref="D8:D14" si="1">B8*C8</f>
        <v>3422471</v>
      </c>
      <c r="E8" s="2"/>
    </row>
    <row r="9" spans="1:5" x14ac:dyDescent="0.25">
      <c r="A9" s="2" t="s">
        <v>5</v>
      </c>
      <c r="B9" s="8">
        <v>2</v>
      </c>
      <c r="C9" s="9">
        <v>63540</v>
      </c>
      <c r="D9" s="3">
        <f t="shared" si="1"/>
        <v>127080</v>
      </c>
      <c r="E9" s="2"/>
    </row>
    <row r="10" spans="1:5" x14ac:dyDescent="0.25">
      <c r="A10" s="2" t="s">
        <v>7</v>
      </c>
      <c r="B10" s="8">
        <v>3</v>
      </c>
      <c r="C10" s="9">
        <v>1205500</v>
      </c>
      <c r="D10" s="3">
        <f t="shared" si="1"/>
        <v>3616500</v>
      </c>
      <c r="E10" s="2"/>
    </row>
    <row r="11" spans="1:5" x14ac:dyDescent="0.25">
      <c r="A11" s="2" t="s">
        <v>16</v>
      </c>
      <c r="B11" s="8">
        <v>1</v>
      </c>
      <c r="C11" s="9">
        <v>151634</v>
      </c>
      <c r="D11" s="3">
        <f t="shared" si="1"/>
        <v>151634</v>
      </c>
      <c r="E11" s="2"/>
    </row>
    <row r="12" spans="1:5" x14ac:dyDescent="0.25">
      <c r="A12" s="2" t="s">
        <v>11</v>
      </c>
      <c r="B12" s="8">
        <v>35</v>
      </c>
      <c r="C12" s="9">
        <v>625589</v>
      </c>
      <c r="D12" s="3">
        <f t="shared" si="1"/>
        <v>21895615</v>
      </c>
      <c r="E12" s="2"/>
    </row>
    <row r="13" spans="1:5" x14ac:dyDescent="0.25">
      <c r="A13" s="2" t="s">
        <v>12</v>
      </c>
      <c r="B13" s="8">
        <v>1</v>
      </c>
      <c r="C13" s="9">
        <v>23691</v>
      </c>
      <c r="D13" s="3">
        <f t="shared" si="1"/>
        <v>23691</v>
      </c>
      <c r="E13" s="2"/>
    </row>
    <row r="14" spans="1:5" x14ac:dyDescent="0.25">
      <c r="A14" s="2" t="s">
        <v>14</v>
      </c>
      <c r="B14" s="8">
        <v>1</v>
      </c>
      <c r="C14" s="9">
        <v>999999</v>
      </c>
      <c r="D14" s="3">
        <f t="shared" si="1"/>
        <v>999999</v>
      </c>
      <c r="E14" s="2"/>
    </row>
    <row r="15" spans="1:5" x14ac:dyDescent="0.25">
      <c r="A15" s="4" t="s">
        <v>17</v>
      </c>
      <c r="B15" s="8">
        <v>45</v>
      </c>
      <c r="C15" s="10"/>
      <c r="D15" s="5">
        <f>SUM(D7:D14)</f>
        <v>34043480</v>
      </c>
      <c r="E15" s="2"/>
    </row>
    <row r="17" spans="1:5" x14ac:dyDescent="0.25">
      <c r="A17" s="2" t="s">
        <v>35</v>
      </c>
      <c r="B17" s="2" t="s">
        <v>24</v>
      </c>
      <c r="C17" s="2" t="s">
        <v>26</v>
      </c>
      <c r="D17" s="2" t="s">
        <v>25</v>
      </c>
      <c r="E17" s="2" t="s">
        <v>27</v>
      </c>
    </row>
    <row r="18" spans="1:5" x14ac:dyDescent="0.25">
      <c r="A18" s="2" t="s">
        <v>11</v>
      </c>
      <c r="B18" s="13">
        <v>22</v>
      </c>
      <c r="C18" s="13">
        <v>1012</v>
      </c>
      <c r="D18" s="7">
        <v>300</v>
      </c>
      <c r="E18" s="7">
        <f>C18*D18</f>
        <v>303600</v>
      </c>
    </row>
    <row r="20" spans="1:5" x14ac:dyDescent="0.25">
      <c r="A20" s="2" t="s">
        <v>36</v>
      </c>
      <c r="B20" s="2" t="s">
        <v>37</v>
      </c>
      <c r="C20" s="2" t="s">
        <v>28</v>
      </c>
      <c r="D20" s="2"/>
    </row>
    <row r="21" spans="1:5" x14ac:dyDescent="0.25">
      <c r="A21" s="8">
        <v>100</v>
      </c>
      <c r="B21" s="7">
        <v>90</v>
      </c>
      <c r="C21" s="7">
        <f>A21*B21</f>
        <v>9000</v>
      </c>
      <c r="D21" s="7"/>
    </row>
    <row r="23" spans="1:5" x14ac:dyDescent="0.25">
      <c r="A23" s="2" t="s">
        <v>29</v>
      </c>
      <c r="B23" s="10">
        <v>220000</v>
      </c>
    </row>
    <row r="24" spans="1:5" x14ac:dyDescent="0.25">
      <c r="B24" s="10"/>
    </row>
    <row r="25" spans="1:5" x14ac:dyDescent="0.25">
      <c r="A25" s="4" t="s">
        <v>32</v>
      </c>
      <c r="B25" s="10">
        <f>D15+E18+C21+B23</f>
        <v>34576080</v>
      </c>
      <c r="C25" s="10"/>
    </row>
    <row r="26" spans="1:5" x14ac:dyDescent="0.25">
      <c r="B26" s="7"/>
      <c r="C26" s="11"/>
    </row>
    <row r="27" spans="1:5" x14ac:dyDescent="0.25">
      <c r="B27" s="7"/>
      <c r="D27" s="11"/>
    </row>
    <row r="28" spans="1:5" x14ac:dyDescent="0.25">
      <c r="A28" s="11"/>
      <c r="B28" s="7"/>
    </row>
    <row r="30" spans="1:5" x14ac:dyDescent="0.25">
      <c r="B30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EBC0-3F6D-4195-A9BB-1E2AB86C6A6D}">
  <dimension ref="A1:D10"/>
  <sheetViews>
    <sheetView workbookViewId="0">
      <selection activeCell="B16" sqref="B16"/>
    </sheetView>
  </sheetViews>
  <sheetFormatPr defaultRowHeight="15" x14ac:dyDescent="0.25"/>
  <cols>
    <col min="1" max="1" width="19.140625" customWidth="1"/>
    <col min="2" max="2" width="20.42578125" customWidth="1"/>
    <col min="3" max="3" width="12.42578125" customWidth="1"/>
  </cols>
  <sheetData>
    <row r="1" spans="1:4" x14ac:dyDescent="0.25">
      <c r="A1" s="2" t="s">
        <v>19</v>
      </c>
      <c r="B1" s="2" t="s">
        <v>20</v>
      </c>
      <c r="C1" s="2"/>
    </row>
    <row r="2" spans="1:4" x14ac:dyDescent="0.25">
      <c r="A2" s="2" t="s">
        <v>21</v>
      </c>
      <c r="B2" s="10">
        <f>Budapest!B30</f>
        <v>68813988</v>
      </c>
      <c r="C2" s="2"/>
    </row>
    <row r="3" spans="1:4" x14ac:dyDescent="0.25">
      <c r="A3" s="2" t="s">
        <v>22</v>
      </c>
      <c r="B3" s="10">
        <f>Debrecen!B25</f>
        <v>32218245</v>
      </c>
      <c r="C3" s="2"/>
    </row>
    <row r="4" spans="1:4" x14ac:dyDescent="0.25">
      <c r="A4" s="2" t="s">
        <v>23</v>
      </c>
      <c r="B4" s="10">
        <f>Pécs!B25</f>
        <v>34576080</v>
      </c>
      <c r="C4" s="2"/>
    </row>
    <row r="5" spans="1:4" x14ac:dyDescent="0.25">
      <c r="A5" s="4" t="s">
        <v>17</v>
      </c>
      <c r="B5" s="10">
        <f>SUM(B2:B4)</f>
        <v>135608313</v>
      </c>
      <c r="C5" s="2"/>
    </row>
    <row r="6" spans="1:4" x14ac:dyDescent="0.25">
      <c r="B6" s="2"/>
    </row>
    <row r="10" spans="1:4" x14ac:dyDescent="0.25">
      <c r="D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Budapest</vt:lpstr>
      <vt:lpstr>Debrecen</vt:lpstr>
      <vt:lpstr>Pécs</vt:lpstr>
      <vt:lpstr>Összesített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Kristóf</dc:creator>
  <cp:lastModifiedBy>Adam Mehes</cp:lastModifiedBy>
  <dcterms:created xsi:type="dcterms:W3CDTF">2015-06-05T18:19:34Z</dcterms:created>
  <dcterms:modified xsi:type="dcterms:W3CDTF">2026-09-14T17:54:39Z</dcterms:modified>
</cp:coreProperties>
</file>